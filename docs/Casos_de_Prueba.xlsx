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as de usuario" state="visible" r:id="rId4"/>
    <sheet sheetId="2" name="Casos de prueba" state="visible" r:id="rId5"/>
    <sheet sheetId="3" name="Resumen" state="visible" r:id="rId6"/>
  </sheets>
  <calcPr calcId="171027" fullCalcOnLoad="1"/>
</workbook>
</file>

<file path=xl/sharedStrings.xml><?xml version="1.0" encoding="utf-8"?>
<sst xmlns="http://schemas.openxmlformats.org/spreadsheetml/2006/main" count="449" uniqueCount="186">
  <si>
    <t>Historias de usuario – Automatización Bancolombia Personas</t>
  </si>
  <si>
    <t>Proyecto: https://github.com/opdrums/automatizacion_banco · Playwright + TypeScript (patrón Screenplay, Gherkin)</t>
  </si>
  <si>
    <t>ID HU</t>
  </si>
  <si>
    <t>Funcionalidad</t>
  </si>
  <si>
    <t>Historia de usuario</t>
  </si>
  <si>
    <t>Archivo de prueba</t>
  </si>
  <si>
    <t>N.º de casos</t>
  </si>
  <si>
    <t>HU-01</t>
  </si>
  <si>
    <t>Página de inicio</t>
  </si>
  <si>
    <t>Como usuario de Bancolombia Personas quiero que la página de inicio cargue correctamente, con su menú, aviso de cookies y líneas de atención, para encontrar la información del banco.</t>
  </si>
  <si>
    <t>tests/home.spec.ts</t>
  </si>
  <si>
    <t>HU-02</t>
  </si>
  <si>
    <t>Navegación por Productos y Servicios</t>
  </si>
  <si>
    <t>Como usuario quiero navegar desde el menú Productos y Servicios a cada producto para conocer su oferta.</t>
  </si>
  <si>
    <t>tests/navegacionProductos.spec.ts</t>
  </si>
  <si>
    <t>HU-03</t>
  </si>
  <si>
    <t>Simulador de crédito de libre inversión</t>
  </si>
  <si>
    <t>Como usuario quiero diligenciar el simulador de libre inversión y que valide el monto ($1.000.000 – $500.000.000), el plazo (48 – 84 meses) y la edad (18 – 84 años) para simular un crédito válido.</t>
  </si>
  <si>
    <t>tests/simuladorLibreInversion.spec.ts</t>
  </si>
  <si>
    <t>HU-04</t>
  </si>
  <si>
    <t>Acceso a la Sucursal Virtual Personas</t>
  </si>
  <si>
    <t>Como usuario quiero que el acceso a la Sucursal Virtual me lleve al portal de autenticación oficial por HTTPS para ingresar de forma segura.</t>
  </si>
  <si>
    <t>tests/sucursalVirtual.spec.ts</t>
  </si>
  <si>
    <t/>
  </si>
  <si>
    <t>Total</t>
  </si>
  <si>
    <t>ID caso</t>
  </si>
  <si>
    <t>Escenario</t>
  </si>
  <si>
    <t>Tipo Gherkin</t>
  </si>
  <si>
    <t>Precondición (Given)</t>
  </si>
  <si>
    <t>Acción (When)</t>
  </si>
  <si>
    <t>Datos de prueba</t>
  </si>
  <si>
    <t>Resultado esperado (Then)</t>
  </si>
  <si>
    <t>Técnica de prueba</t>
  </si>
  <si>
    <t>Etiquetas</t>
  </si>
  <si>
    <t>Automatizado</t>
  </si>
  <si>
    <t>Estado</t>
  </si>
  <si>
    <t>Fecha de ejecución</t>
  </si>
  <si>
    <t>Evidencia</t>
  </si>
  <si>
    <t>HU-01-CP-01</t>
  </si>
  <si>
    <t>Cargar la página de inicio correctamente</t>
  </si>
  <si>
    <t>Scenario</t>
  </si>
  <si>
    <t>El usuario abre la página de inicio de Bancolombia Personas.</t>
  </si>
  <si>
    <t>—</t>
  </si>
  <si>
    <t>Título esperado: "Bancolombia Personas"</t>
  </si>
  <si>
    <t>El título de la página es "Bancolombia Personas" y el logo de Bancolombia es visible.</t>
  </si>
  <si>
    <t>Smoke</t>
  </si>
  <si>
    <t>@smoke</t>
  </si>
  <si>
    <t>Sí</t>
  </si>
  <si>
    <t>Aprobado</t>
  </si>
  <si>
    <t>2026-10-08</t>
  </si>
  <si>
    <t>GitHub Actions</t>
  </si>
  <si>
    <t>HU-01-CP-02</t>
  </si>
  <si>
    <t>Aceptar el uso de cookies</t>
  </si>
  <si>
    <t>Acepta el uso de cookies.</t>
  </si>
  <si>
    <t>El aviso de cookies deja de estar visible.</t>
  </si>
  <si>
    <t>Funcional</t>
  </si>
  <si>
    <t>HU-01-CP-03.1</t>
  </si>
  <si>
    <t>Visualizar la opción "Inicio" en el menú principal</t>
  </si>
  <si>
    <t>Scenario Outline</t>
  </si>
  <si>
    <t>Opción: "Inicio"</t>
  </si>
  <si>
    <t>La opción "Inicio" es visible en el menú principal.</t>
  </si>
  <si>
    <t>Funcional (Scenario Outline)</t>
  </si>
  <si>
    <t>HU-01-CP-03.2</t>
  </si>
  <si>
    <t>Visualizar la opción "Necesidades" en el menú principal</t>
  </si>
  <si>
    <t>Opción: "Necesidades"</t>
  </si>
  <si>
    <t>La opción "Necesidades" es visible en el menú principal.</t>
  </si>
  <si>
    <t>HU-01-CP-03.3</t>
  </si>
  <si>
    <t>Visualizar la opción "Productos y Servicios" en el menú principal</t>
  </si>
  <si>
    <t>Opción: "Productos y Servicios"</t>
  </si>
  <si>
    <t>La opción "Productos y Servicios" es visible en el menú principal.</t>
  </si>
  <si>
    <t>HU-01-CP-03.4</t>
  </si>
  <si>
    <t>Visualizar la opción "Educación Financiera" en el menú principal</t>
  </si>
  <si>
    <t>Opción: "Educación Financiera"</t>
  </si>
  <si>
    <t>La opción "Educación Financiera" es visible en el menú principal.</t>
  </si>
  <si>
    <t>HU-01-CP-03.5</t>
  </si>
  <si>
    <t>Visualizar la opción "Trámites digitales" en el menú principal</t>
  </si>
  <si>
    <t>Opción: "Trámites digitales"</t>
  </si>
  <si>
    <t>La opción "Trámites digitales" es visible en el menú principal.</t>
  </si>
  <si>
    <t>HU-01-CP-04</t>
  </si>
  <si>
    <t>Consultar las líneas de atención telefónica</t>
  </si>
  <si>
    <t xml:space="preserve">Bogotá +57 (601) 343 0000
Medellín +57 (604) 510 9000
Línea gratuita resto del país: 01 8000 9 12345</t>
  </si>
  <si>
    <t>Las tres líneas de atención son visibles en la página.</t>
  </si>
  <si>
    <t>HU-02-CP-01.1</t>
  </si>
  <si>
    <t>Navegar a la sección "Cuentas"</t>
  </si>
  <si>
    <t>El usuario abre la página de inicio de Bancolombia Personas y acepta las cookies.</t>
  </si>
  <si>
    <t>Navega al producto "Cuentas" desde el menú Productos y Servicios.</t>
  </si>
  <si>
    <t xml:space="preserve">Producto: Cuentas
Ruta: /productos/cuentas
Título: Cuentas de ahorros</t>
  </si>
  <si>
    <t>La URL contiene "/productos/cuentas" y el título de la página contiene "Cuentas de ahorros".</t>
  </si>
  <si>
    <t>@regresion</t>
  </si>
  <si>
    <t>HU-02-CP-01.2</t>
  </si>
  <si>
    <t>Navegar a la sección "Tarjetas Débito"</t>
  </si>
  <si>
    <t>Navega al producto "Tarjetas Débito" desde el menú Productos y Servicios.</t>
  </si>
  <si>
    <t xml:space="preserve">Producto: Tarjetas Débito
Ruta: /tarjetas-debito
Título: Tarjetas Débito</t>
  </si>
  <si>
    <t>La URL contiene "/tarjetas-debito" y el título de la página contiene "Tarjetas Débito".</t>
  </si>
  <si>
    <t>HU-02-CP-01.3</t>
  </si>
  <si>
    <t>Navegar a la sección "Tarjetas de Crédito"</t>
  </si>
  <si>
    <t>Navega al producto "Tarjetas de Crédito" desde el menú Productos y Servicios.</t>
  </si>
  <si>
    <t xml:space="preserve">Producto: Tarjetas de Crédito
Ruta: /tarjetas-credito
Título: Tarjetas de Crédito</t>
  </si>
  <si>
    <t>La URL contiene "/tarjetas-credito" y el título de la página contiene "Tarjetas de Crédito".</t>
  </si>
  <si>
    <t>HU-02-CP-01.4</t>
  </si>
  <si>
    <t>Navegar a la sección "Créditos"</t>
  </si>
  <si>
    <t>Navega al producto "Créditos" desde el menú Productos y Servicios.</t>
  </si>
  <si>
    <t xml:space="preserve">Producto: Créditos
Ruta: /personas/creditos
Título: Créditos</t>
  </si>
  <si>
    <t>La URL contiene "/personas/creditos" y el título de la página contiene "Créditos".</t>
  </si>
  <si>
    <t>HU-02-CP-01.5</t>
  </si>
  <si>
    <t>Navegar a la sección "Vivienda"</t>
  </si>
  <si>
    <t>Navega al producto "Vivienda" desde el menú Productos y Servicios.</t>
  </si>
  <si>
    <t xml:space="preserve">Producto: Vivienda
Ruta: /personas/vivienda
Título: Vivienda</t>
  </si>
  <si>
    <t>La URL contiene "/personas/vivienda" y el título de la página contiene "Vivienda".</t>
  </si>
  <si>
    <t>HU-02-CP-01.6</t>
  </si>
  <si>
    <t>Navegar a la sección "Seguros y asistencias"</t>
  </si>
  <si>
    <t>Navega al producto "Seguros y asistencias" desde el menú Productos y Servicios.</t>
  </si>
  <si>
    <t xml:space="preserve">Producto: Seguros y asistencias
Ruta: /personas/seguros
Título: Seguros</t>
  </si>
  <si>
    <t>La URL contiene "/personas/seguros" y el título de la página contiene "Seguros".</t>
  </si>
  <si>
    <t>HU-02-CP-01.7</t>
  </si>
  <si>
    <t>Navegar a la sección "Inversiones"</t>
  </si>
  <si>
    <t>Navega al producto "Inversiones" desde el menú Productos y Servicios.</t>
  </si>
  <si>
    <t xml:space="preserve">Producto: Inversiones
Ruta: /productos/inversiones
Título: Inversion</t>
  </si>
  <si>
    <t>La URL contiene "/productos/inversiones" y el título de la página contiene "Inversion".</t>
  </si>
  <si>
    <t>HU-03-CP-01</t>
  </si>
  <si>
    <t>Consultar las condiciones del crédito</t>
  </si>
  <si>
    <t>El usuario abre el simulador de crédito de libre inversión.</t>
  </si>
  <si>
    <t xml:space="preserve">Edad entre 18 y 84
Monto mínimo $1.000.000
Plazo entre 48 y 84 meses</t>
  </si>
  <si>
    <t>El título del simulador y las tres condiciones del crédito son visibles.</t>
  </si>
  <si>
    <t>HU-03-CP-02</t>
  </si>
  <si>
    <t>Visualizar el formulario de simulación</t>
  </si>
  <si>
    <t>Inicia la simulación indicando que sabe cuánto dinero necesita.</t>
  </si>
  <si>
    <t>Los campos monto, plazo y edad son visibles.</t>
  </si>
  <si>
    <t>HU-03-CP-03.1</t>
  </si>
  <si>
    <t>Simular con datos válidos – valores mínimos</t>
  </si>
  <si>
    <t>Diligencia el simulador con monto, plazo y edad.</t>
  </si>
  <si>
    <t xml:space="preserve">Monto: $1.000.000
Plazo: 48 meses
Edad: 18 años</t>
  </si>
  <si>
    <t>No se muestran mensajes de error y el botón Simular está habilitado.</t>
  </si>
  <si>
    <t>Valores límite (mínimo válido)</t>
  </si>
  <si>
    <t>HU-03-CP-03.2</t>
  </si>
  <si>
    <t>Simular con datos válidos – valores máximos</t>
  </si>
  <si>
    <t xml:space="preserve">Monto: $500.000.000
Plazo: 84 meses
Edad: 84 años</t>
  </si>
  <si>
    <t>Valores límite (máximo válido)</t>
  </si>
  <si>
    <t>HU-03-CP-03.3</t>
  </si>
  <si>
    <t>Simular con datos válidos – valores intermedios</t>
  </si>
  <si>
    <t xml:space="preserve">Monto: $25.000.000
Plazo: 60 meses
Edad: 35 años</t>
  </si>
  <si>
    <t>Partición de equivalencia (clase válida)</t>
  </si>
  <si>
    <t>HU-03-CP-04.1</t>
  </si>
  <si>
    <t>Simular con datos fuera de rango – monto menor al mínimo</t>
  </si>
  <si>
    <t xml:space="preserve">Monto: $999.999
Plazo: 60 meses
Edad: 30 años</t>
  </si>
  <si>
    <t>Se muestra el mensaje "El campo no cumple con el valor mínimo: $1.000.000" y el botón Simular está deshabilitado.</t>
  </si>
  <si>
    <t>Valores límite (inválido)</t>
  </si>
  <si>
    <t>HU-03-CP-04.2</t>
  </si>
  <si>
    <t>Simular con datos fuera de rango – monto mayor al máximo</t>
  </si>
  <si>
    <t xml:space="preserve">Monto: $500.000.001
Plazo: 60 meses
Edad: 30 años</t>
  </si>
  <si>
    <t>Se muestra el mensaje "El campo no cumple con el valor máximo: $500.000.000" y el botón Simular está deshabilitado.</t>
  </si>
  <si>
    <t>HU-03-CP-04.3</t>
  </si>
  <si>
    <t>Simular con datos fuera de rango – plazo menor al mínimo</t>
  </si>
  <si>
    <t xml:space="preserve">Monto: $10.000.000
Plazo: 47 meses
Edad: 30 años</t>
  </si>
  <si>
    <t>Se muestra el mensaje "El campo no cumple con el valor mínimo: 48 meses" y el botón Simular está deshabilitado.</t>
  </si>
  <si>
    <t>HU-03-CP-04.4</t>
  </si>
  <si>
    <t>Simular con datos fuera de rango – plazo mayor al máximo</t>
  </si>
  <si>
    <t xml:space="preserve">Monto: $10.000.000
Plazo: 85 meses
Edad: 30 años</t>
  </si>
  <si>
    <t>Se muestra el mensaje "El campo no cumple con el valor máximo: 84 meses" y el botón Simular está deshabilitado.</t>
  </si>
  <si>
    <t>HU-03-CP-04.5</t>
  </si>
  <si>
    <t>Simular con datos fuera de rango – edad menor a la mínima</t>
  </si>
  <si>
    <t xml:space="preserve">Monto: $10.000.000
Plazo: 60 meses
Edad: 17 años</t>
  </si>
  <si>
    <t>Se muestra el mensaje "Debes tener al menos 18 años para solicitar el crédito" y el botón Simular está deshabilitado.</t>
  </si>
  <si>
    <t>HU-03-CP-04.6</t>
  </si>
  <si>
    <t>Simular con datos fuera de rango – edad mayor a la máxima</t>
  </si>
  <si>
    <t xml:space="preserve">Monto: $10.000.000
Plazo: 60 meses
Edad: 85 años</t>
  </si>
  <si>
    <t>Se muestra el mensaje "Debes tener máximo 84 años para solicitar el crédito" y el botón Simular está deshabilitado.</t>
  </si>
  <si>
    <t>HU-04-CP-01</t>
  </si>
  <si>
    <t>El acceso a la Sucursal Virtual dirige al portal de autenticación seguro</t>
  </si>
  <si>
    <t>URL esperada: https://svpersonas.apps.bancolombia.com/autenticacion</t>
  </si>
  <si>
    <t>El enlace de Sucursal Virtual Personas dirige a la URL esperada y usa HTTPS.</t>
  </si>
  <si>
    <t>Seguridad</t>
  </si>
  <si>
    <t>@smoke @seguridad</t>
  </si>
  <si>
    <t>Resumen de ejecución</t>
  </si>
  <si>
    <t>Ejecución: GitHub Actions, 2026-10-08 (Chromium). Las cifras se calculan desde la hoja "Casos de prueba".</t>
  </si>
  <si>
    <t>Casos</t>
  </si>
  <si>
    <t>% del total</t>
  </si>
  <si>
    <t>Fallido</t>
  </si>
  <si>
    <t>Bloqueado</t>
  </si>
  <si>
    <t>No ejecutado</t>
  </si>
  <si>
    <t>Aprobados</t>
  </si>
  <si>
    <t>% aprobación</t>
  </si>
  <si>
    <t>HU-01 – Página de inicio</t>
  </si>
  <si>
    <t>HU-02 – Navegación por Productos y Servicios</t>
  </si>
  <si>
    <t>HU-03 – Simulador de crédito de libre inversión</t>
  </si>
  <si>
    <t>HU-04 – Acceso a la Sucursal Virtual Personas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</si>
</sst>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1F3864"/>
      <sz val="14"/>
      <name val="Arial"/>
    </font>
    <font>
      <i/>
      <color rgb="FF595959"/>
      <sz val="9"/>
      <name val="Arial"/>
    </font>
    <font>
      <b/>
      <color rgb="FFFFFFFF"/>
      <sz val="10"/>
      <name val="Arial"/>
    </font>
    <font>
      <sz val="10"/>
      <name val="Arial"/>
    </font>
    <font>
      <b/>
      <sz val="10"/>
      <name val="Arial"/>
    </font>
    <font>
      <u/>
      <color rgb="FF0563C1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EEAF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horizontal="center" vertical="top" wrapText="1"/>
    </xf>
    <xf numFmtId="164" fontId="5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3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opdrums/automatizacion_banco/actions/runs/37863982480" TargetMode="External"/><Relationship Id="rId2" Type="http://schemas.openxmlformats.org/officeDocument/2006/relationships/hyperlink" Target="https://github.com/opdrums/automatizacion_banco/actions/runs/37863982480" TargetMode="External"/><Relationship Id="rId3" Type="http://schemas.openxmlformats.org/officeDocument/2006/relationships/hyperlink" Target="https://github.com/opdrums/automatizacion_banco/actions/runs/37863982480" TargetMode="External"/><Relationship Id="rId4" Type="http://schemas.openxmlformats.org/officeDocument/2006/relationships/hyperlink" Target="https://github.com/opdrums/automatizacion_banco/actions/runs/37863982480" TargetMode="External"/><Relationship Id="rId5" Type="http://schemas.openxmlformats.org/officeDocument/2006/relationships/hyperlink" Target="https://github.com/opdrums/automatizacion_banco/actions/runs/37863982480" TargetMode="External"/><Relationship Id="rId6" Type="http://schemas.openxmlformats.org/officeDocument/2006/relationships/hyperlink" Target="https://github.com/opdrums/automatizacion_banco/actions/runs/37863982480" TargetMode="External"/><Relationship Id="rId7" Type="http://schemas.openxmlformats.org/officeDocument/2006/relationships/hyperlink" Target="https://github.com/opdrums/automatizacion_banco/actions/runs/37863982480" TargetMode="External"/><Relationship Id="rId8" Type="http://schemas.openxmlformats.org/officeDocument/2006/relationships/hyperlink" Target="https://github.com/opdrums/automatizacion_banco/actions/runs/37863982480" TargetMode="External"/><Relationship Id="rId9" Type="http://schemas.openxmlformats.org/officeDocument/2006/relationships/hyperlink" Target="https://github.com/opdrums/automatizacion_banco/actions/runs/37863982480" TargetMode="External"/><Relationship Id="rId10" Type="http://schemas.openxmlformats.org/officeDocument/2006/relationships/hyperlink" Target="https://github.com/opdrums/automatizacion_banco/actions/runs/37863982480" TargetMode="External"/><Relationship Id="rId11" Type="http://schemas.openxmlformats.org/officeDocument/2006/relationships/hyperlink" Target="https://github.com/opdrums/automatizacion_banco/actions/runs/37863982480" TargetMode="External"/><Relationship Id="rId12" Type="http://schemas.openxmlformats.org/officeDocument/2006/relationships/hyperlink" Target="https://github.com/opdrums/automatizacion_banco/actions/runs/37863982480" TargetMode="External"/><Relationship Id="rId13" Type="http://schemas.openxmlformats.org/officeDocument/2006/relationships/hyperlink" Target="https://github.com/opdrums/automatizacion_banco/actions/runs/37863982480" TargetMode="External"/><Relationship Id="rId14" Type="http://schemas.openxmlformats.org/officeDocument/2006/relationships/hyperlink" Target="https://github.com/opdrums/automatizacion_banco/actions/runs/37863982480" TargetMode="External"/><Relationship Id="rId15" Type="http://schemas.openxmlformats.org/officeDocument/2006/relationships/hyperlink" Target="https://github.com/opdrums/automatizacion_banco/actions/runs/37863982480" TargetMode="External"/><Relationship Id="rId16" Type="http://schemas.openxmlformats.org/officeDocument/2006/relationships/hyperlink" Target="https://github.com/opdrums/automatizacion_banco/actions/runs/37863982480" TargetMode="External"/><Relationship Id="rId17" Type="http://schemas.openxmlformats.org/officeDocument/2006/relationships/hyperlink" Target="https://github.com/opdrums/automatizacion_banco/actions/runs/37863982480" TargetMode="External"/><Relationship Id="rId18" Type="http://schemas.openxmlformats.org/officeDocument/2006/relationships/hyperlink" Target="https://github.com/opdrums/automatizacion_banco/actions/runs/37863982480" TargetMode="External"/><Relationship Id="rId19" Type="http://schemas.openxmlformats.org/officeDocument/2006/relationships/hyperlink" Target="https://github.com/opdrums/automatizacion_banco/actions/runs/37863982480" TargetMode="External"/><Relationship Id="rId20" Type="http://schemas.openxmlformats.org/officeDocument/2006/relationships/hyperlink" Target="https://github.com/opdrums/automatizacion_banco/actions/runs/37863982480" TargetMode="External"/><Relationship Id="rId21" Type="http://schemas.openxmlformats.org/officeDocument/2006/relationships/hyperlink" Target="https://github.com/opdrums/automatizacion_banco/actions/runs/37863982480" TargetMode="External"/><Relationship Id="rId22" Type="http://schemas.openxmlformats.org/officeDocument/2006/relationships/hyperlink" Target="https://github.com/opdrums/automatizacion_banco/actions/runs/37863982480" TargetMode="External"/><Relationship Id="rId23" Type="http://schemas.openxmlformats.org/officeDocument/2006/relationships/hyperlink" Target="https://github.com/opdrums/automatizacion_banco/actions/runs/37863982480" TargetMode="External"/><Relationship Id="rId24" Type="http://schemas.openxmlformats.org/officeDocument/2006/relationships/hyperlink" Target="https://github.com/opdrums/automatizacion_banco/actions/runs/37863982480" TargetMode="External"/><Relationship Id="rId25" Type="http://schemas.openxmlformats.org/officeDocument/2006/relationships/hyperlink" Target="https://github.com/opdrums/automatizacion_banco/actions/runs/37863982480" TargetMode="External"/><Relationship Id="rId26" Type="http://schemas.openxmlformats.org/officeDocument/2006/relationships/hyperlink" Target="https://github.com/opdrums/automatizacion_banco/actions/runs/37863982480" TargetMode="External"/><Relationship Id="rId27" Type="http://schemas.openxmlformats.org/officeDocument/2006/relationships/hyperlink" Target="https://github.com/opdrums/automatizacion_banco/actions/runs/378639824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10" customWidth="1"/>
    <col min="2" max="2" width="30" customWidth="1"/>
    <col min="3" max="3" width="70" customWidth="1"/>
    <col min="4" max="4" width="32" customWidth="1"/>
    <col min="5" max="5" width="1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4" t="s">
        <v>7</v>
      </c>
      <c r="B5" s="5" t="s">
        <v>8</v>
      </c>
      <c r="C5" s="5" t="s">
        <v>9</v>
      </c>
      <c r="D5" s="5" t="s">
        <v>10</v>
      </c>
      <c r="E5" s="4">
        <f>COUNTIF('Casos de prueba'!$B:$B,A5)</f>
        <v>8</v>
      </c>
    </row>
    <row r="6" spans="1:5" x14ac:dyDescent="0.25">
      <c r="A6" s="6" t="s">
        <v>11</v>
      </c>
      <c r="B6" s="7" t="s">
        <v>12</v>
      </c>
      <c r="C6" s="7" t="s">
        <v>13</v>
      </c>
      <c r="D6" s="7" t="s">
        <v>14</v>
      </c>
      <c r="E6" s="6">
        <f>COUNTIF('Casos de prueba'!$B:$B,A6)</f>
        <v>7</v>
      </c>
    </row>
    <row r="7" spans="1:5" x14ac:dyDescent="0.25">
      <c r="A7" s="8" t="s">
        <v>15</v>
      </c>
      <c r="B7" s="9" t="s">
        <v>16</v>
      </c>
      <c r="C7" s="9" t="s">
        <v>17</v>
      </c>
      <c r="D7" s="9" t="s">
        <v>18</v>
      </c>
      <c r="E7" s="8">
        <f>COUNTIF('Casos de prueba'!$B:$B,A7)</f>
        <v>11</v>
      </c>
    </row>
    <row r="8" spans="1:5" x14ac:dyDescent="0.25">
      <c r="A8" s="10" t="s">
        <v>19</v>
      </c>
      <c r="B8" s="11" t="s">
        <v>20</v>
      </c>
      <c r="C8" s="11" t="s">
        <v>21</v>
      </c>
      <c r="D8" s="11" t="s">
        <v>22</v>
      </c>
      <c r="E8" s="10">
        <f>COUNTIF('Casos de prueba'!$B:$B,A8)</f>
        <v>1</v>
      </c>
    </row>
    <row r="9" spans="1:5" x14ac:dyDescent="0.25">
      <c r="A9" s="12" t="s">
        <v>23</v>
      </c>
      <c r="B9" s="12" t="s">
        <v>23</v>
      </c>
      <c r="C9" s="12" t="s">
        <v>23</v>
      </c>
      <c r="D9" s="12" t="s">
        <v>24</v>
      </c>
      <c r="E9" s="13">
        <f>SUM(E5:E8)</f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38" customWidth="1"/>
    <col min="4" max="4" width="14" customWidth="1"/>
    <col min="5" max="5" width="34" customWidth="1"/>
    <col min="6" max="7" width="30" customWidth="1"/>
    <col min="8" max="8" width="42" customWidth="1"/>
    <col min="9" max="9" width="26" customWidth="1"/>
    <col min="10" max="10" width="16" customWidth="1"/>
    <col min="11" max="12" width="12" customWidth="1"/>
    <col min="13" max="13" width="13" customWidth="1"/>
    <col min="14" max="14" width="16" customWidth="1"/>
  </cols>
  <sheetData>
    <row r="1" ht="30" customHeight="1" spans="1:14" x14ac:dyDescent="0.25">
      <c r="A1" s="3" t="s">
        <v>25</v>
      </c>
      <c r="B1" s="3" t="s">
        <v>2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</row>
    <row r="2" spans="1:14" x14ac:dyDescent="0.25">
      <c r="A2" s="4" t="s">
        <v>38</v>
      </c>
      <c r="B2" s="4" t="s">
        <v>7</v>
      </c>
      <c r="C2" s="14" t="s">
        <v>39</v>
      </c>
      <c r="D2" s="15" t="s">
        <v>40</v>
      </c>
      <c r="E2" s="14" t="s">
        <v>41</v>
      </c>
      <c r="F2" s="14" t="s">
        <v>42</v>
      </c>
      <c r="G2" s="14" t="s">
        <v>43</v>
      </c>
      <c r="H2" s="14" t="s">
        <v>44</v>
      </c>
      <c r="I2" s="14" t="s">
        <v>45</v>
      </c>
      <c r="J2" s="14" t="s">
        <v>46</v>
      </c>
      <c r="K2" s="15" t="s">
        <v>47</v>
      </c>
      <c r="L2" s="15" t="s">
        <v>48</v>
      </c>
      <c r="M2" s="15" t="s">
        <v>49</v>
      </c>
      <c r="N2" s="16" t="s">
        <v>50</v>
      </c>
    </row>
    <row r="3" spans="1:14" x14ac:dyDescent="0.25">
      <c r="A3" s="4" t="s">
        <v>51</v>
      </c>
      <c r="B3" s="4" t="s">
        <v>7</v>
      </c>
      <c r="C3" s="14" t="s">
        <v>52</v>
      </c>
      <c r="D3" s="15" t="s">
        <v>40</v>
      </c>
      <c r="E3" s="14" t="s">
        <v>41</v>
      </c>
      <c r="F3" s="14" t="s">
        <v>53</v>
      </c>
      <c r="G3" s="14" t="s">
        <v>42</v>
      </c>
      <c r="H3" s="14" t="s">
        <v>54</v>
      </c>
      <c r="I3" s="14" t="s">
        <v>55</v>
      </c>
      <c r="J3" s="14" t="s">
        <v>46</v>
      </c>
      <c r="K3" s="15" t="s">
        <v>47</v>
      </c>
      <c r="L3" s="15" t="s">
        <v>48</v>
      </c>
      <c r="M3" s="15" t="s">
        <v>49</v>
      </c>
      <c r="N3" s="16" t="s">
        <v>50</v>
      </c>
    </row>
    <row r="4" spans="1:14" x14ac:dyDescent="0.25">
      <c r="A4" s="4" t="s">
        <v>56</v>
      </c>
      <c r="B4" s="4" t="s">
        <v>7</v>
      </c>
      <c r="C4" s="14" t="s">
        <v>57</v>
      </c>
      <c r="D4" s="15" t="s">
        <v>58</v>
      </c>
      <c r="E4" s="14" t="s">
        <v>41</v>
      </c>
      <c r="F4" s="14" t="s">
        <v>42</v>
      </c>
      <c r="G4" s="14" t="s">
        <v>59</v>
      </c>
      <c r="H4" s="14" t="s">
        <v>60</v>
      </c>
      <c r="I4" s="14" t="s">
        <v>61</v>
      </c>
      <c r="J4" s="14" t="s">
        <v>42</v>
      </c>
      <c r="K4" s="15" t="s">
        <v>47</v>
      </c>
      <c r="L4" s="15" t="s">
        <v>48</v>
      </c>
      <c r="M4" s="15" t="s">
        <v>49</v>
      </c>
      <c r="N4" s="16" t="s">
        <v>50</v>
      </c>
    </row>
    <row r="5" spans="1:14" x14ac:dyDescent="0.25">
      <c r="A5" s="4" t="s">
        <v>62</v>
      </c>
      <c r="B5" s="4" t="s">
        <v>7</v>
      </c>
      <c r="C5" s="14" t="s">
        <v>63</v>
      </c>
      <c r="D5" s="15" t="s">
        <v>58</v>
      </c>
      <c r="E5" s="14" t="s">
        <v>41</v>
      </c>
      <c r="F5" s="14" t="s">
        <v>42</v>
      </c>
      <c r="G5" s="14" t="s">
        <v>64</v>
      </c>
      <c r="H5" s="14" t="s">
        <v>65</v>
      </c>
      <c r="I5" s="14" t="s">
        <v>61</v>
      </c>
      <c r="J5" s="14" t="s">
        <v>42</v>
      </c>
      <c r="K5" s="15" t="s">
        <v>47</v>
      </c>
      <c r="L5" s="15" t="s">
        <v>48</v>
      </c>
      <c r="M5" s="15" t="s">
        <v>49</v>
      </c>
      <c r="N5" s="16" t="s">
        <v>50</v>
      </c>
    </row>
    <row r="6" spans="1:14" x14ac:dyDescent="0.25">
      <c r="A6" s="4" t="s">
        <v>66</v>
      </c>
      <c r="B6" s="4" t="s">
        <v>7</v>
      </c>
      <c r="C6" s="14" t="s">
        <v>67</v>
      </c>
      <c r="D6" s="15" t="s">
        <v>58</v>
      </c>
      <c r="E6" s="14" t="s">
        <v>41</v>
      </c>
      <c r="F6" s="14" t="s">
        <v>42</v>
      </c>
      <c r="G6" s="14" t="s">
        <v>68</v>
      </c>
      <c r="H6" s="14" t="s">
        <v>69</v>
      </c>
      <c r="I6" s="14" t="s">
        <v>61</v>
      </c>
      <c r="J6" s="14" t="s">
        <v>42</v>
      </c>
      <c r="K6" s="15" t="s">
        <v>47</v>
      </c>
      <c r="L6" s="15" t="s">
        <v>48</v>
      </c>
      <c r="M6" s="15" t="s">
        <v>49</v>
      </c>
      <c r="N6" s="16" t="s">
        <v>50</v>
      </c>
    </row>
    <row r="7" spans="1:14" x14ac:dyDescent="0.25">
      <c r="A7" s="4" t="s">
        <v>70</v>
      </c>
      <c r="B7" s="4" t="s">
        <v>7</v>
      </c>
      <c r="C7" s="14" t="s">
        <v>71</v>
      </c>
      <c r="D7" s="15" t="s">
        <v>58</v>
      </c>
      <c r="E7" s="14" t="s">
        <v>41</v>
      </c>
      <c r="F7" s="14" t="s">
        <v>42</v>
      </c>
      <c r="G7" s="14" t="s">
        <v>72</v>
      </c>
      <c r="H7" s="14" t="s">
        <v>73</v>
      </c>
      <c r="I7" s="14" t="s">
        <v>61</v>
      </c>
      <c r="J7" s="14" t="s">
        <v>42</v>
      </c>
      <c r="K7" s="15" t="s">
        <v>47</v>
      </c>
      <c r="L7" s="15" t="s">
        <v>48</v>
      </c>
      <c r="M7" s="15" t="s">
        <v>49</v>
      </c>
      <c r="N7" s="16" t="s">
        <v>50</v>
      </c>
    </row>
    <row r="8" spans="1:14" x14ac:dyDescent="0.25">
      <c r="A8" s="4" t="s">
        <v>74</v>
      </c>
      <c r="B8" s="4" t="s">
        <v>7</v>
      </c>
      <c r="C8" s="14" t="s">
        <v>75</v>
      </c>
      <c r="D8" s="15" t="s">
        <v>58</v>
      </c>
      <c r="E8" s="14" t="s">
        <v>41</v>
      </c>
      <c r="F8" s="14" t="s">
        <v>42</v>
      </c>
      <c r="G8" s="14" t="s">
        <v>76</v>
      </c>
      <c r="H8" s="14" t="s">
        <v>77</v>
      </c>
      <c r="I8" s="14" t="s">
        <v>61</v>
      </c>
      <c r="J8" s="14" t="s">
        <v>42</v>
      </c>
      <c r="K8" s="15" t="s">
        <v>47</v>
      </c>
      <c r="L8" s="15" t="s">
        <v>48</v>
      </c>
      <c r="M8" s="15" t="s">
        <v>49</v>
      </c>
      <c r="N8" s="16" t="s">
        <v>50</v>
      </c>
    </row>
    <row r="9" spans="1:14" x14ac:dyDescent="0.25">
      <c r="A9" s="4" t="s">
        <v>78</v>
      </c>
      <c r="B9" s="4" t="s">
        <v>7</v>
      </c>
      <c r="C9" s="14" t="s">
        <v>79</v>
      </c>
      <c r="D9" s="15" t="s">
        <v>40</v>
      </c>
      <c r="E9" s="14" t="s">
        <v>41</v>
      </c>
      <c r="F9" s="14" t="s">
        <v>42</v>
      </c>
      <c r="G9" s="14" t="s">
        <v>80</v>
      </c>
      <c r="H9" s="14" t="s">
        <v>81</v>
      </c>
      <c r="I9" s="14" t="s">
        <v>55</v>
      </c>
      <c r="J9" s="14" t="s">
        <v>42</v>
      </c>
      <c r="K9" s="15" t="s">
        <v>47</v>
      </c>
      <c r="L9" s="15" t="s">
        <v>48</v>
      </c>
      <c r="M9" s="15" t="s">
        <v>49</v>
      </c>
      <c r="N9" s="16" t="s">
        <v>50</v>
      </c>
    </row>
    <row r="10" spans="1:14" x14ac:dyDescent="0.25">
      <c r="A10" s="6" t="s">
        <v>82</v>
      </c>
      <c r="B10" s="6" t="s">
        <v>11</v>
      </c>
      <c r="C10" s="14" t="s">
        <v>83</v>
      </c>
      <c r="D10" s="15" t="s">
        <v>58</v>
      </c>
      <c r="E10" s="14" t="s">
        <v>84</v>
      </c>
      <c r="F10" s="14" t="s">
        <v>85</v>
      </c>
      <c r="G10" s="14" t="s">
        <v>86</v>
      </c>
      <c r="H10" s="14" t="s">
        <v>87</v>
      </c>
      <c r="I10" s="14" t="s">
        <v>61</v>
      </c>
      <c r="J10" s="14" t="s">
        <v>88</v>
      </c>
      <c r="K10" s="15" t="s">
        <v>47</v>
      </c>
      <c r="L10" s="15" t="s">
        <v>48</v>
      </c>
      <c r="M10" s="15" t="s">
        <v>49</v>
      </c>
      <c r="N10" s="16" t="s">
        <v>50</v>
      </c>
    </row>
    <row r="11" spans="1:14" x14ac:dyDescent="0.25">
      <c r="A11" s="6" t="s">
        <v>89</v>
      </c>
      <c r="B11" s="6" t="s">
        <v>11</v>
      </c>
      <c r="C11" s="14" t="s">
        <v>90</v>
      </c>
      <c r="D11" s="15" t="s">
        <v>58</v>
      </c>
      <c r="E11" s="14" t="s">
        <v>84</v>
      </c>
      <c r="F11" s="14" t="s">
        <v>91</v>
      </c>
      <c r="G11" s="14" t="s">
        <v>92</v>
      </c>
      <c r="H11" s="14" t="s">
        <v>93</v>
      </c>
      <c r="I11" s="14" t="s">
        <v>61</v>
      </c>
      <c r="J11" s="14" t="s">
        <v>88</v>
      </c>
      <c r="K11" s="15" t="s">
        <v>47</v>
      </c>
      <c r="L11" s="15" t="s">
        <v>48</v>
      </c>
      <c r="M11" s="15" t="s">
        <v>49</v>
      </c>
      <c r="N11" s="16" t="s">
        <v>50</v>
      </c>
    </row>
    <row r="12" spans="1:14" x14ac:dyDescent="0.25">
      <c r="A12" s="6" t="s">
        <v>94</v>
      </c>
      <c r="B12" s="6" t="s">
        <v>11</v>
      </c>
      <c r="C12" s="14" t="s">
        <v>95</v>
      </c>
      <c r="D12" s="15" t="s">
        <v>58</v>
      </c>
      <c r="E12" s="14" t="s">
        <v>84</v>
      </c>
      <c r="F12" s="14" t="s">
        <v>96</v>
      </c>
      <c r="G12" s="14" t="s">
        <v>97</v>
      </c>
      <c r="H12" s="14" t="s">
        <v>98</v>
      </c>
      <c r="I12" s="14" t="s">
        <v>61</v>
      </c>
      <c r="J12" s="14" t="s">
        <v>88</v>
      </c>
      <c r="K12" s="15" t="s">
        <v>47</v>
      </c>
      <c r="L12" s="15" t="s">
        <v>48</v>
      </c>
      <c r="M12" s="15" t="s">
        <v>49</v>
      </c>
      <c r="N12" s="16" t="s">
        <v>50</v>
      </c>
    </row>
    <row r="13" spans="1:14" x14ac:dyDescent="0.25">
      <c r="A13" s="6" t="s">
        <v>99</v>
      </c>
      <c r="B13" s="6" t="s">
        <v>11</v>
      </c>
      <c r="C13" s="14" t="s">
        <v>100</v>
      </c>
      <c r="D13" s="15" t="s">
        <v>58</v>
      </c>
      <c r="E13" s="14" t="s">
        <v>84</v>
      </c>
      <c r="F13" s="14" t="s">
        <v>101</v>
      </c>
      <c r="G13" s="14" t="s">
        <v>102</v>
      </c>
      <c r="H13" s="14" t="s">
        <v>103</v>
      </c>
      <c r="I13" s="14" t="s">
        <v>61</v>
      </c>
      <c r="J13" s="14" t="s">
        <v>88</v>
      </c>
      <c r="K13" s="15" t="s">
        <v>47</v>
      </c>
      <c r="L13" s="15" t="s">
        <v>48</v>
      </c>
      <c r="M13" s="15" t="s">
        <v>49</v>
      </c>
      <c r="N13" s="16" t="s">
        <v>50</v>
      </c>
    </row>
    <row r="14" spans="1:14" x14ac:dyDescent="0.25">
      <c r="A14" s="6" t="s">
        <v>104</v>
      </c>
      <c r="B14" s="6" t="s">
        <v>11</v>
      </c>
      <c r="C14" s="14" t="s">
        <v>105</v>
      </c>
      <c r="D14" s="15" t="s">
        <v>58</v>
      </c>
      <c r="E14" s="14" t="s">
        <v>84</v>
      </c>
      <c r="F14" s="14" t="s">
        <v>106</v>
      </c>
      <c r="G14" s="14" t="s">
        <v>107</v>
      </c>
      <c r="H14" s="14" t="s">
        <v>108</v>
      </c>
      <c r="I14" s="14" t="s">
        <v>61</v>
      </c>
      <c r="J14" s="14" t="s">
        <v>88</v>
      </c>
      <c r="K14" s="15" t="s">
        <v>47</v>
      </c>
      <c r="L14" s="15" t="s">
        <v>48</v>
      </c>
      <c r="M14" s="15" t="s">
        <v>49</v>
      </c>
      <c r="N14" s="16" t="s">
        <v>50</v>
      </c>
    </row>
    <row r="15" spans="1:14" x14ac:dyDescent="0.25">
      <c r="A15" s="6" t="s">
        <v>109</v>
      </c>
      <c r="B15" s="6" t="s">
        <v>11</v>
      </c>
      <c r="C15" s="14" t="s">
        <v>110</v>
      </c>
      <c r="D15" s="15" t="s">
        <v>58</v>
      </c>
      <c r="E15" s="14" t="s">
        <v>84</v>
      </c>
      <c r="F15" s="14" t="s">
        <v>111</v>
      </c>
      <c r="G15" s="14" t="s">
        <v>112</v>
      </c>
      <c r="H15" s="14" t="s">
        <v>113</v>
      </c>
      <c r="I15" s="14" t="s">
        <v>61</v>
      </c>
      <c r="J15" s="14" t="s">
        <v>88</v>
      </c>
      <c r="K15" s="15" t="s">
        <v>47</v>
      </c>
      <c r="L15" s="15" t="s">
        <v>48</v>
      </c>
      <c r="M15" s="15" t="s">
        <v>49</v>
      </c>
      <c r="N15" s="16" t="s">
        <v>50</v>
      </c>
    </row>
    <row r="16" spans="1:14" x14ac:dyDescent="0.25">
      <c r="A16" s="6" t="s">
        <v>114</v>
      </c>
      <c r="B16" s="6" t="s">
        <v>11</v>
      </c>
      <c r="C16" s="14" t="s">
        <v>115</v>
      </c>
      <c r="D16" s="15" t="s">
        <v>58</v>
      </c>
      <c r="E16" s="14" t="s">
        <v>84</v>
      </c>
      <c r="F16" s="14" t="s">
        <v>116</v>
      </c>
      <c r="G16" s="14" t="s">
        <v>117</v>
      </c>
      <c r="H16" s="14" t="s">
        <v>118</v>
      </c>
      <c r="I16" s="14" t="s">
        <v>61</v>
      </c>
      <c r="J16" s="14" t="s">
        <v>88</v>
      </c>
      <c r="K16" s="15" t="s">
        <v>47</v>
      </c>
      <c r="L16" s="15" t="s">
        <v>48</v>
      </c>
      <c r="M16" s="15" t="s">
        <v>49</v>
      </c>
      <c r="N16" s="16" t="s">
        <v>50</v>
      </c>
    </row>
    <row r="17" spans="1:14" x14ac:dyDescent="0.25">
      <c r="A17" s="8" t="s">
        <v>119</v>
      </c>
      <c r="B17" s="8" t="s">
        <v>15</v>
      </c>
      <c r="C17" s="14" t="s">
        <v>120</v>
      </c>
      <c r="D17" s="15" t="s">
        <v>40</v>
      </c>
      <c r="E17" s="14" t="s">
        <v>121</v>
      </c>
      <c r="F17" s="14" t="s">
        <v>42</v>
      </c>
      <c r="G17" s="14" t="s">
        <v>122</v>
      </c>
      <c r="H17" s="14" t="s">
        <v>123</v>
      </c>
      <c r="I17" s="14" t="s">
        <v>45</v>
      </c>
      <c r="J17" s="14" t="s">
        <v>46</v>
      </c>
      <c r="K17" s="15" t="s">
        <v>47</v>
      </c>
      <c r="L17" s="15" t="s">
        <v>48</v>
      </c>
      <c r="M17" s="15" t="s">
        <v>49</v>
      </c>
      <c r="N17" s="16" t="s">
        <v>50</v>
      </c>
    </row>
    <row r="18" spans="1:14" x14ac:dyDescent="0.25">
      <c r="A18" s="8" t="s">
        <v>124</v>
      </c>
      <c r="B18" s="8" t="s">
        <v>15</v>
      </c>
      <c r="C18" s="14" t="s">
        <v>125</v>
      </c>
      <c r="D18" s="15" t="s">
        <v>40</v>
      </c>
      <c r="E18" s="14" t="s">
        <v>121</v>
      </c>
      <c r="F18" s="14" t="s">
        <v>126</v>
      </c>
      <c r="G18" s="14" t="s">
        <v>42</v>
      </c>
      <c r="H18" s="14" t="s">
        <v>127</v>
      </c>
      <c r="I18" s="14" t="s">
        <v>45</v>
      </c>
      <c r="J18" s="14" t="s">
        <v>46</v>
      </c>
      <c r="K18" s="15" t="s">
        <v>47</v>
      </c>
      <c r="L18" s="15" t="s">
        <v>48</v>
      </c>
      <c r="M18" s="15" t="s">
        <v>49</v>
      </c>
      <c r="N18" s="16" t="s">
        <v>50</v>
      </c>
    </row>
    <row r="19" spans="1:14" x14ac:dyDescent="0.25">
      <c r="A19" s="8" t="s">
        <v>128</v>
      </c>
      <c r="B19" s="8" t="s">
        <v>15</v>
      </c>
      <c r="C19" s="14" t="s">
        <v>129</v>
      </c>
      <c r="D19" s="15" t="s">
        <v>58</v>
      </c>
      <c r="E19" s="14" t="s">
        <v>121</v>
      </c>
      <c r="F19" s="14" t="s">
        <v>130</v>
      </c>
      <c r="G19" s="14" t="s">
        <v>131</v>
      </c>
      <c r="H19" s="14" t="s">
        <v>132</v>
      </c>
      <c r="I19" s="14" t="s">
        <v>133</v>
      </c>
      <c r="J19" s="14" t="s">
        <v>88</v>
      </c>
      <c r="K19" s="15" t="s">
        <v>47</v>
      </c>
      <c r="L19" s="15" t="s">
        <v>48</v>
      </c>
      <c r="M19" s="15" t="s">
        <v>49</v>
      </c>
      <c r="N19" s="16" t="s">
        <v>50</v>
      </c>
    </row>
    <row r="20" spans="1:14" x14ac:dyDescent="0.25">
      <c r="A20" s="8" t="s">
        <v>134</v>
      </c>
      <c r="B20" s="8" t="s">
        <v>15</v>
      </c>
      <c r="C20" s="14" t="s">
        <v>135</v>
      </c>
      <c r="D20" s="15" t="s">
        <v>58</v>
      </c>
      <c r="E20" s="14" t="s">
        <v>121</v>
      </c>
      <c r="F20" s="14" t="s">
        <v>130</v>
      </c>
      <c r="G20" s="14" t="s">
        <v>136</v>
      </c>
      <c r="H20" s="14" t="s">
        <v>132</v>
      </c>
      <c r="I20" s="14" t="s">
        <v>137</v>
      </c>
      <c r="J20" s="14" t="s">
        <v>88</v>
      </c>
      <c r="K20" s="15" t="s">
        <v>47</v>
      </c>
      <c r="L20" s="15" t="s">
        <v>48</v>
      </c>
      <c r="M20" s="15" t="s">
        <v>49</v>
      </c>
      <c r="N20" s="16" t="s">
        <v>50</v>
      </c>
    </row>
    <row r="21" spans="1:14" x14ac:dyDescent="0.25">
      <c r="A21" s="8" t="s">
        <v>138</v>
      </c>
      <c r="B21" s="8" t="s">
        <v>15</v>
      </c>
      <c r="C21" s="14" t="s">
        <v>139</v>
      </c>
      <c r="D21" s="15" t="s">
        <v>58</v>
      </c>
      <c r="E21" s="14" t="s">
        <v>121</v>
      </c>
      <c r="F21" s="14" t="s">
        <v>130</v>
      </c>
      <c r="G21" s="14" t="s">
        <v>140</v>
      </c>
      <c r="H21" s="14" t="s">
        <v>132</v>
      </c>
      <c r="I21" s="14" t="s">
        <v>141</v>
      </c>
      <c r="J21" s="14" t="s">
        <v>88</v>
      </c>
      <c r="K21" s="15" t="s">
        <v>47</v>
      </c>
      <c r="L21" s="15" t="s">
        <v>48</v>
      </c>
      <c r="M21" s="15" t="s">
        <v>49</v>
      </c>
      <c r="N21" s="16" t="s">
        <v>50</v>
      </c>
    </row>
    <row r="22" spans="1:14" x14ac:dyDescent="0.25">
      <c r="A22" s="8" t="s">
        <v>142</v>
      </c>
      <c r="B22" s="8" t="s">
        <v>15</v>
      </c>
      <c r="C22" s="14" t="s">
        <v>143</v>
      </c>
      <c r="D22" s="15" t="s">
        <v>58</v>
      </c>
      <c r="E22" s="14" t="s">
        <v>121</v>
      </c>
      <c r="F22" s="14" t="s">
        <v>130</v>
      </c>
      <c r="G22" s="14" t="s">
        <v>144</v>
      </c>
      <c r="H22" s="14" t="s">
        <v>145</v>
      </c>
      <c r="I22" s="14" t="s">
        <v>146</v>
      </c>
      <c r="J22" s="14" t="s">
        <v>88</v>
      </c>
      <c r="K22" s="15" t="s">
        <v>47</v>
      </c>
      <c r="L22" s="15" t="s">
        <v>48</v>
      </c>
      <c r="M22" s="15" t="s">
        <v>49</v>
      </c>
      <c r="N22" s="16" t="s">
        <v>50</v>
      </c>
    </row>
    <row r="23" spans="1:14" x14ac:dyDescent="0.25">
      <c r="A23" s="8" t="s">
        <v>147</v>
      </c>
      <c r="B23" s="8" t="s">
        <v>15</v>
      </c>
      <c r="C23" s="14" t="s">
        <v>148</v>
      </c>
      <c r="D23" s="15" t="s">
        <v>58</v>
      </c>
      <c r="E23" s="14" t="s">
        <v>121</v>
      </c>
      <c r="F23" s="14" t="s">
        <v>130</v>
      </c>
      <c r="G23" s="14" t="s">
        <v>149</v>
      </c>
      <c r="H23" s="14" t="s">
        <v>150</v>
      </c>
      <c r="I23" s="14" t="s">
        <v>146</v>
      </c>
      <c r="J23" s="14" t="s">
        <v>88</v>
      </c>
      <c r="K23" s="15" t="s">
        <v>47</v>
      </c>
      <c r="L23" s="15" t="s">
        <v>48</v>
      </c>
      <c r="M23" s="15" t="s">
        <v>49</v>
      </c>
      <c r="N23" s="16" t="s">
        <v>50</v>
      </c>
    </row>
    <row r="24" spans="1:14" x14ac:dyDescent="0.25">
      <c r="A24" s="8" t="s">
        <v>151</v>
      </c>
      <c r="B24" s="8" t="s">
        <v>15</v>
      </c>
      <c r="C24" s="14" t="s">
        <v>152</v>
      </c>
      <c r="D24" s="15" t="s">
        <v>58</v>
      </c>
      <c r="E24" s="14" t="s">
        <v>121</v>
      </c>
      <c r="F24" s="14" t="s">
        <v>130</v>
      </c>
      <c r="G24" s="14" t="s">
        <v>153</v>
      </c>
      <c r="H24" s="14" t="s">
        <v>154</v>
      </c>
      <c r="I24" s="14" t="s">
        <v>146</v>
      </c>
      <c r="J24" s="14" t="s">
        <v>88</v>
      </c>
      <c r="K24" s="15" t="s">
        <v>47</v>
      </c>
      <c r="L24" s="15" t="s">
        <v>48</v>
      </c>
      <c r="M24" s="15" t="s">
        <v>49</v>
      </c>
      <c r="N24" s="16" t="s">
        <v>50</v>
      </c>
    </row>
    <row r="25" spans="1:14" x14ac:dyDescent="0.25">
      <c r="A25" s="8" t="s">
        <v>155</v>
      </c>
      <c r="B25" s="8" t="s">
        <v>15</v>
      </c>
      <c r="C25" s="14" t="s">
        <v>156</v>
      </c>
      <c r="D25" s="15" t="s">
        <v>58</v>
      </c>
      <c r="E25" s="14" t="s">
        <v>121</v>
      </c>
      <c r="F25" s="14" t="s">
        <v>130</v>
      </c>
      <c r="G25" s="14" t="s">
        <v>157</v>
      </c>
      <c r="H25" s="14" t="s">
        <v>158</v>
      </c>
      <c r="I25" s="14" t="s">
        <v>146</v>
      </c>
      <c r="J25" s="14" t="s">
        <v>88</v>
      </c>
      <c r="K25" s="15" t="s">
        <v>47</v>
      </c>
      <c r="L25" s="15" t="s">
        <v>48</v>
      </c>
      <c r="M25" s="15" t="s">
        <v>49</v>
      </c>
      <c r="N25" s="16" t="s">
        <v>50</v>
      </c>
    </row>
    <row r="26" spans="1:14" x14ac:dyDescent="0.25">
      <c r="A26" s="8" t="s">
        <v>159</v>
      </c>
      <c r="B26" s="8" t="s">
        <v>15</v>
      </c>
      <c r="C26" s="14" t="s">
        <v>160</v>
      </c>
      <c r="D26" s="15" t="s">
        <v>58</v>
      </c>
      <c r="E26" s="14" t="s">
        <v>121</v>
      </c>
      <c r="F26" s="14" t="s">
        <v>130</v>
      </c>
      <c r="G26" s="14" t="s">
        <v>161</v>
      </c>
      <c r="H26" s="14" t="s">
        <v>162</v>
      </c>
      <c r="I26" s="14" t="s">
        <v>146</v>
      </c>
      <c r="J26" s="14" t="s">
        <v>88</v>
      </c>
      <c r="K26" s="15" t="s">
        <v>47</v>
      </c>
      <c r="L26" s="15" t="s">
        <v>48</v>
      </c>
      <c r="M26" s="15" t="s">
        <v>49</v>
      </c>
      <c r="N26" s="16" t="s">
        <v>50</v>
      </c>
    </row>
    <row r="27" spans="1:14" x14ac:dyDescent="0.25">
      <c r="A27" s="8" t="s">
        <v>163</v>
      </c>
      <c r="B27" s="8" t="s">
        <v>15</v>
      </c>
      <c r="C27" s="14" t="s">
        <v>164</v>
      </c>
      <c r="D27" s="15" t="s">
        <v>58</v>
      </c>
      <c r="E27" s="14" t="s">
        <v>121</v>
      </c>
      <c r="F27" s="14" t="s">
        <v>130</v>
      </c>
      <c r="G27" s="14" t="s">
        <v>165</v>
      </c>
      <c r="H27" s="14" t="s">
        <v>166</v>
      </c>
      <c r="I27" s="14" t="s">
        <v>146</v>
      </c>
      <c r="J27" s="14" t="s">
        <v>88</v>
      </c>
      <c r="K27" s="15" t="s">
        <v>47</v>
      </c>
      <c r="L27" s="15" t="s">
        <v>48</v>
      </c>
      <c r="M27" s="15" t="s">
        <v>49</v>
      </c>
      <c r="N27" s="16" t="s">
        <v>50</v>
      </c>
    </row>
    <row r="28" spans="1:14" x14ac:dyDescent="0.25">
      <c r="A28" s="10" t="s">
        <v>167</v>
      </c>
      <c r="B28" s="10" t="s">
        <v>19</v>
      </c>
      <c r="C28" s="14" t="s">
        <v>168</v>
      </c>
      <c r="D28" s="15" t="s">
        <v>40</v>
      </c>
      <c r="E28" s="14" t="s">
        <v>41</v>
      </c>
      <c r="F28" s="14" t="s">
        <v>42</v>
      </c>
      <c r="G28" s="14" t="s">
        <v>169</v>
      </c>
      <c r="H28" s="14" t="s">
        <v>170</v>
      </c>
      <c r="I28" s="14" t="s">
        <v>171</v>
      </c>
      <c r="J28" s="14" t="s">
        <v>172</v>
      </c>
      <c r="K28" s="15" t="s">
        <v>47</v>
      </c>
      <c r="L28" s="15" t="s">
        <v>48</v>
      </c>
      <c r="M28" s="15" t="s">
        <v>49</v>
      </c>
      <c r="N28" s="16" t="s">
        <v>50</v>
      </c>
    </row>
  </sheetData>
  <autoFilter ref="A1:N28"/>
  <conditionalFormatting sqref="L2:L28">
    <cfRule type="cellIs" dxfId="0" priority="1" operator="equal">
      <formula>"Aprobado"</formula>
    </cfRule>
    <cfRule type="cellIs" dxfId="1" priority="2" operator="equal">
      <formula>"Fallido"</formula>
    </cfRule>
    <cfRule type="cellIs" dxfId="2" priority="3" operator="equal">
      <formula>"Bloqueado"</formula>
    </cfRule>
  </conditionalFormatting>
  <dataValidations count="2">
    <dataValidation type="list" allowBlank="1" sqref="L10:L28">
      <formula1>"Aprobado,Fallido,Bloqueado,No ejecutado"</formula1>
    </dataValidation>
    <dataValidation type="list" allowBlank="1" sqref="L2:L28">
      <formula1>"Aprobado,Fallido,Bloqueado,No ejecutado"</formula1>
    </dataValidation>
  </dataValidations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  <hyperlink ref="N28" r:id="rId2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cols>
    <col min="1" max="1" width="50" customWidth="1"/>
    <col min="2" max="2" width="12" customWidth="1"/>
    <col min="3" max="4" width="14" customWidth="1"/>
  </cols>
  <sheetData>
    <row r="1" spans="1:1" x14ac:dyDescent="0.25">
      <c r="A1" s="1" t="s">
        <v>173</v>
      </c>
    </row>
    <row r="2" spans="1:1" x14ac:dyDescent="0.25">
      <c r="A2" s="2" t="s">
        <v>174</v>
      </c>
    </row>
    <row r="4" spans="1:3" x14ac:dyDescent="0.25">
      <c r="A4" s="3" t="s">
        <v>35</v>
      </c>
      <c r="B4" s="3" t="s">
        <v>175</v>
      </c>
      <c r="C4" s="3" t="s">
        <v>176</v>
      </c>
    </row>
    <row r="5" spans="1:3" x14ac:dyDescent="0.25">
      <c r="A5" s="14" t="s">
        <v>48</v>
      </c>
      <c r="B5" s="15">
        <f>COUNTIF('Casos de prueba'!$L:$L,A5)</f>
        <v>27</v>
      </c>
      <c r="C5" s="17">
        <f>IF($B$9=0,0,B5/$B$9)</f>
        <v>1</v>
      </c>
    </row>
    <row r="6" spans="1:3" x14ac:dyDescent="0.25">
      <c r="A6" s="14" t="s">
        <v>177</v>
      </c>
      <c r="B6" s="15">
        <f>COUNTIF('Casos de prueba'!$L:$L,A6)</f>
        <v>0</v>
      </c>
      <c r="C6" s="17">
        <f>IF($B$9=0,0,B6/$B$9)</f>
        <v>0</v>
      </c>
    </row>
    <row r="7" spans="1:3" x14ac:dyDescent="0.25">
      <c r="A7" s="14" t="s">
        <v>178</v>
      </c>
      <c r="B7" s="15">
        <f>COUNTIF('Casos de prueba'!$L:$L,A7)</f>
        <v>0</v>
      </c>
      <c r="C7" s="17">
        <f>IF($B$9=0,0,B7/$B$9)</f>
        <v>0</v>
      </c>
    </row>
    <row r="8" spans="1:3" x14ac:dyDescent="0.25">
      <c r="A8" s="14" t="s">
        <v>179</v>
      </c>
      <c r="B8" s="15">
        <f>COUNTIF('Casos de prueba'!$L:$L,A8)</f>
        <v>0</v>
      </c>
      <c r="C8" s="17">
        <f>IF($B$9=0,0,B8/$B$9)</f>
        <v>0</v>
      </c>
    </row>
    <row r="9" spans="1:3" x14ac:dyDescent="0.25">
      <c r="A9" s="12" t="s">
        <v>24</v>
      </c>
      <c r="B9" s="13">
        <f>SUM(B5:B8)</f>
        <v>27</v>
      </c>
      <c r="C9" s="18">
        <f>SUM(C5:C8)</f>
        <v>1</v>
      </c>
    </row>
    <row r="11" spans="1:4" x14ac:dyDescent="0.25">
      <c r="A11" s="3" t="s">
        <v>4</v>
      </c>
      <c r="B11" s="3" t="s">
        <v>175</v>
      </c>
      <c r="C11" s="3" t="s">
        <v>180</v>
      </c>
      <c r="D11" s="3" t="s">
        <v>181</v>
      </c>
    </row>
    <row r="12" spans="1:4" x14ac:dyDescent="0.25">
      <c r="A12" s="14" t="s">
        <v>182</v>
      </c>
      <c r="B12" s="15">
        <f>COUNTIF('Casos de prueba'!$B:$B,"HU-01")</f>
        <v>8</v>
      </c>
      <c r="C12" s="15">
        <f>COUNTIFS('Casos de prueba'!$B:$B,"HU-01",'Casos de prueba'!$L:$L,"Aprobado")</f>
        <v>8</v>
      </c>
      <c r="D12" s="17">
        <f>IF(B12=0,0,C12/B12)</f>
        <v>1</v>
      </c>
    </row>
    <row r="13" spans="1:4" x14ac:dyDescent="0.25">
      <c r="A13" s="14" t="s">
        <v>183</v>
      </c>
      <c r="B13" s="15">
        <f>COUNTIF('Casos de prueba'!$B:$B,"HU-02")</f>
        <v>7</v>
      </c>
      <c r="C13" s="15">
        <f>COUNTIFS('Casos de prueba'!$B:$B,"HU-02",'Casos de prueba'!$L:$L,"Aprobado")</f>
        <v>7</v>
      </c>
      <c r="D13" s="17">
        <f>IF(B13=0,0,C13/B13)</f>
        <v>1</v>
      </c>
    </row>
    <row r="14" spans="1:4" x14ac:dyDescent="0.25">
      <c r="A14" s="14" t="s">
        <v>184</v>
      </c>
      <c r="B14" s="15">
        <f>COUNTIF('Casos de prueba'!$B:$B,"HU-03")</f>
        <v>11</v>
      </c>
      <c r="C14" s="15">
        <f>COUNTIFS('Casos de prueba'!$B:$B,"HU-03",'Casos de prueba'!$L:$L,"Aprobado")</f>
        <v>11</v>
      </c>
      <c r="D14" s="17">
        <f>IF(B14=0,0,C14/B14)</f>
        <v>1</v>
      </c>
    </row>
    <row r="15" spans="1:4" x14ac:dyDescent="0.25">
      <c r="A15" s="14" t="s">
        <v>185</v>
      </c>
      <c r="B15" s="15">
        <f>COUNTIF('Casos de prueba'!$B:$B,"HU-04")</f>
        <v>1</v>
      </c>
      <c r="C15" s="15">
        <f>COUNTIFS('Casos de prueba'!$B:$B,"HU-04",'Casos de prueba'!$L:$L,"Aprobado")</f>
        <v>1</v>
      </c>
      <c r="D15" s="17">
        <f>IF(B15=0,0,C15/B15)</f>
        <v>1</v>
      </c>
    </row>
    <row r="16" spans="1:4" x14ac:dyDescent="0.25">
      <c r="A16" s="12" t="s">
        <v>24</v>
      </c>
      <c r="B16" s="13">
        <f>SUM(B12:B15)</f>
        <v>27</v>
      </c>
      <c r="C16" s="13">
        <f>SUM(C12:C15)</f>
        <v>27</v>
      </c>
      <c r="D16" s="18">
        <f>IF(B16=0,0,C16/B16)</f>
        <v>1</v>
      </c>
    </row>
    <row r="18" spans="1:2" x14ac:dyDescent="0.25">
      <c r="A18" s="3" t="s">
        <v>32</v>
      </c>
      <c r="B18" s="3" t="s">
        <v>175</v>
      </c>
    </row>
    <row r="19" spans="1:2" x14ac:dyDescent="0.25">
      <c r="A19" s="14" t="s">
        <v>55</v>
      </c>
      <c r="B19" s="15">
        <f>COUNTIF('Casos de prueba'!$I:$I,A19)</f>
        <v>2</v>
      </c>
    </row>
    <row r="20" spans="1:2" x14ac:dyDescent="0.25">
      <c r="A20" s="14" t="s">
        <v>61</v>
      </c>
      <c r="B20" s="15">
        <f>COUNTIF('Casos de prueba'!$I:$I,A20)</f>
        <v>12</v>
      </c>
    </row>
    <row r="21" spans="1:2" x14ac:dyDescent="0.25">
      <c r="A21" s="14" t="s">
        <v>141</v>
      </c>
      <c r="B21" s="15">
        <f>COUNTIF('Casos de prueba'!$I:$I,A21)</f>
        <v>1</v>
      </c>
    </row>
    <row r="22" spans="1:2" x14ac:dyDescent="0.25">
      <c r="A22" s="14" t="s">
        <v>171</v>
      </c>
      <c r="B22" s="15">
        <f>COUNTIF('Casos de prueba'!$I:$I,A22)</f>
        <v>1</v>
      </c>
    </row>
    <row r="23" spans="1:2" x14ac:dyDescent="0.25">
      <c r="A23" s="14" t="s">
        <v>45</v>
      </c>
      <c r="B23" s="15">
        <f>COUNTIF('Casos de prueba'!$I:$I,A23)</f>
        <v>3</v>
      </c>
    </row>
    <row r="24" spans="1:2" x14ac:dyDescent="0.25">
      <c r="A24" s="14" t="s">
        <v>146</v>
      </c>
      <c r="B24" s="15">
        <f>COUNTIF('Casos de prueba'!$I:$I,A24)</f>
        <v>6</v>
      </c>
    </row>
    <row r="25" spans="1:2" x14ac:dyDescent="0.25">
      <c r="A25" s="14" t="s">
        <v>137</v>
      </c>
      <c r="B25" s="15">
        <f>COUNTIF('Casos de prueba'!$I:$I,A25)</f>
        <v>1</v>
      </c>
    </row>
    <row r="26" spans="1:2" x14ac:dyDescent="0.25">
      <c r="A26" s="14" t="s">
        <v>133</v>
      </c>
      <c r="B26" s="15">
        <f>COUNTIF('Casos de prueba'!$I:$I,A26)</f>
        <v>1</v>
      </c>
    </row>
    <row r="27" spans="1:2" x14ac:dyDescent="0.25">
      <c r="A27" s="12" t="s">
        <v>24</v>
      </c>
      <c r="B27" s="13">
        <f>SUM(B19:B26)</f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Historias de usuario</vt:lpstr>
      <vt:lpstr>Casos de prueba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2026-10-09T00:28:18Z</dcterms:created>
  <dcterms:modified xsi:type="dcterms:W3CDTF">2026-10-09T00:28:18Z</dcterms:modified>
</cp:coreProperties>
</file>